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t1462/Library/CloudStorage/Dropbox/ITC_Proposal/KSA/"/>
    </mc:Choice>
  </mc:AlternateContent>
  <xr:revisionPtr revIDLastSave="0" documentId="13_ncr:9_{EC810408-2FF6-F147-96D3-75C3283E90D0}" xr6:coauthVersionLast="47" xr6:coauthVersionMax="47" xr10:uidLastSave="{00000000-0000-0000-0000-000000000000}"/>
  <bookViews>
    <workbookView xWindow="24800" yWindow="4180" windowWidth="28040" windowHeight="17440" xr2:uid="{A405DE63-AC34-3644-A74F-77F43C9DD647}"/>
  </bookViews>
  <sheets>
    <sheet name="annual_cost_benefi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8" i="1" l="1"/>
  <c r="D78" i="1"/>
  <c r="B78" i="1"/>
</calcChain>
</file>

<file path=xl/sharedStrings.xml><?xml version="1.0" encoding="utf-8"?>
<sst xmlns="http://schemas.openxmlformats.org/spreadsheetml/2006/main" count="84" uniqueCount="9">
  <si>
    <t>year</t>
  </si>
  <si>
    <t>SADsAverted</t>
  </si>
  <si>
    <t>mla.effect</t>
  </si>
  <si>
    <t>benefit</t>
  </si>
  <si>
    <t>discount_weights</t>
  </si>
  <si>
    <t>benefit_discounted</t>
  </si>
  <si>
    <t>main</t>
  </si>
  <si>
    <t>Total</t>
  </si>
  <si>
    <t>in 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</si>
</sst>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8" formatCode="_(&quot;$&quot;* #,##0_);_(&quot;$&quot;* \(#,##0\);_(&quot;$&quot;* &quot;-&quot;??_);_(@_)"/>
  </numFmts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43" fontId="0" fillId="0" borderId="0" xfId="1" applyFont="1"/>
    <xf numFmtId="1" fontId="0" fillId="0" borderId="0" xfId="0" applyNumberFormat="1"/>
    <xf numFmtId="168" fontId="0" fillId="0" borderId="0" xfId="2" applyNumberFormat="1" applyFont="1"/>
  </cellXfs>
  <cellStyles count="44">
    <cellStyle name="20% - Accent1" xfId="21" builtinId="30" customBuiltin="1"/>
    <cellStyle name="20% - Accent2" xfId="25" builtinId="34" customBuiltin="1"/>
    <cellStyle name="20% - Accent3" xfId="29" builtinId="38" customBuiltin="1"/>
    <cellStyle name="20% - Accent4" xfId="33" builtinId="42" customBuiltin="1"/>
    <cellStyle name="20% - Accent5" xfId="37" builtinId="46" customBuiltin="1"/>
    <cellStyle name="20% - Accent6" xfId="41" builtinId="50" customBuiltin="1"/>
    <cellStyle name="40% - Accent1" xfId="22" builtinId="31" customBuiltin="1"/>
    <cellStyle name="40% - Accent2" xfId="26" builtinId="35" customBuiltin="1"/>
    <cellStyle name="40% - Accent3" xfId="30" builtinId="39" customBuiltin="1"/>
    <cellStyle name="40% - Accent4" xfId="34" builtinId="43" customBuiltin="1"/>
    <cellStyle name="40% - Accent5" xfId="38" builtinId="47" customBuiltin="1"/>
    <cellStyle name="40% - Accent6" xfId="42" builtinId="51" customBuiltin="1"/>
    <cellStyle name="60% - Accent1" xfId="23" builtinId="32" customBuiltin="1"/>
    <cellStyle name="60% - Accent2" xfId="27" builtinId="36" customBuiltin="1"/>
    <cellStyle name="60% - Accent3" xfId="31" builtinId="40" customBuiltin="1"/>
    <cellStyle name="60% - Accent4" xfId="35" builtinId="44" customBuiltin="1"/>
    <cellStyle name="60% - Accent5" xfId="39" builtinId="48" customBuiltin="1"/>
    <cellStyle name="60% - Accent6" xfId="43" builtinId="52" customBuiltin="1"/>
    <cellStyle name="Accent1" xfId="20" builtinId="29" customBuiltin="1"/>
    <cellStyle name="Accent2" xfId="24" builtinId="33" customBuiltin="1"/>
    <cellStyle name="Accent3" xfId="28" builtinId="37" customBuiltin="1"/>
    <cellStyle name="Accent4" xfId="32" builtinId="41" customBuiltin="1"/>
    <cellStyle name="Accent5" xfId="36" builtinId="45" customBuiltin="1"/>
    <cellStyle name="Accent6" xfId="40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Currency" xfId="2" builtinId="4"/>
    <cellStyle name="Explanatory Text" xfId="18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te" xfId="17" builtinId="10" customBuiltin="1"/>
    <cellStyle name="Output" xfId="12" builtinId="21" customBuiltin="1"/>
    <cellStyle name="Title" xfId="3" builtinId="15" customBuiltin="1"/>
    <cellStyle name="Total" xfId="19" builtinId="25" customBuiltin="1"/>
    <cellStyle name="Warning Text" xfId="16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744B3E-0362-4542-B236-4D8E028D574D}">
  <dimension ref="A1:G78"/>
  <sheetViews>
    <sheetView tabSelected="1" topLeftCell="A53" workbookViewId="0">
      <selection activeCell="G78" sqref="G78"/>
    </sheetView>
  </sheetViews>
  <sheetFormatPr baseColWidth="10" defaultRowHeight="16" x14ac:dyDescent="0.2"/>
  <cols>
    <col min="2" max="2" width="10.83203125" style="2"/>
    <col min="4" max="4" width="18.6640625" style="3" bestFit="1" customWidth="1"/>
    <col min="5" max="5" width="17" style="1" customWidth="1"/>
    <col min="6" max="6" width="17.6640625" style="3" bestFit="1" customWidth="1"/>
  </cols>
  <sheetData>
    <row r="1" spans="1:6" x14ac:dyDescent="0.2">
      <c r="A1" t="s">
        <v>0</v>
      </c>
      <c r="B1" s="2" t="s">
        <v>1</v>
      </c>
      <c r="C1" t="s">
        <v>2</v>
      </c>
      <c r="D1" s="3" t="s">
        <v>3</v>
      </c>
      <c r="E1" s="1" t="s">
        <v>4</v>
      </c>
      <c r="F1" s="3" t="s">
        <v>5</v>
      </c>
    </row>
    <row r="2" spans="1:6" x14ac:dyDescent="0.2">
      <c r="A2">
        <v>2025</v>
      </c>
      <c r="B2" s="2">
        <v>0</v>
      </c>
      <c r="C2" t="s">
        <v>6</v>
      </c>
      <c r="D2" s="3">
        <v>0</v>
      </c>
      <c r="E2" s="1">
        <v>1</v>
      </c>
      <c r="F2" s="3">
        <v>0</v>
      </c>
    </row>
    <row r="3" spans="1:6" x14ac:dyDescent="0.2">
      <c r="A3">
        <v>2026</v>
      </c>
      <c r="B3" s="2">
        <v>0</v>
      </c>
      <c r="C3" t="s">
        <v>6</v>
      </c>
      <c r="D3" s="3">
        <v>0</v>
      </c>
      <c r="E3" s="1">
        <v>0.970873786407767</v>
      </c>
      <c r="F3" s="3">
        <v>0</v>
      </c>
    </row>
    <row r="4" spans="1:6" x14ac:dyDescent="0.2">
      <c r="A4">
        <v>2027</v>
      </c>
      <c r="B4" s="2">
        <v>0</v>
      </c>
      <c r="C4" t="s">
        <v>6</v>
      </c>
      <c r="D4" s="3">
        <v>0</v>
      </c>
      <c r="E4" s="1">
        <v>0.94259590913375402</v>
      </c>
      <c r="F4" s="3">
        <v>0</v>
      </c>
    </row>
    <row r="5" spans="1:6" x14ac:dyDescent="0.2">
      <c r="A5">
        <v>2028</v>
      </c>
      <c r="B5" s="2">
        <v>0</v>
      </c>
      <c r="C5" t="s">
        <v>6</v>
      </c>
      <c r="D5" s="3">
        <v>0</v>
      </c>
      <c r="E5" s="1">
        <v>0.91514165935316005</v>
      </c>
      <c r="F5" s="3">
        <v>0</v>
      </c>
    </row>
    <row r="6" spans="1:6" x14ac:dyDescent="0.2">
      <c r="A6">
        <v>2029</v>
      </c>
      <c r="B6" s="2">
        <v>0</v>
      </c>
      <c r="C6" t="s">
        <v>6</v>
      </c>
      <c r="D6" s="3">
        <v>0</v>
      </c>
      <c r="E6" s="1">
        <v>0.888487047915689</v>
      </c>
      <c r="F6" s="3">
        <v>0</v>
      </c>
    </row>
    <row r="7" spans="1:6" x14ac:dyDescent="0.2">
      <c r="A7">
        <v>2030</v>
      </c>
      <c r="B7" s="2">
        <v>0</v>
      </c>
      <c r="C7" t="s">
        <v>6</v>
      </c>
      <c r="D7" s="3">
        <v>0</v>
      </c>
      <c r="E7" s="1">
        <v>0.862608784384164</v>
      </c>
      <c r="F7" s="3">
        <v>0</v>
      </c>
    </row>
    <row r="8" spans="1:6" x14ac:dyDescent="0.2">
      <c r="A8">
        <v>2031</v>
      </c>
      <c r="B8" s="2">
        <v>0</v>
      </c>
      <c r="C8" t="s">
        <v>6</v>
      </c>
      <c r="D8" s="3">
        <v>0</v>
      </c>
      <c r="E8" s="1">
        <v>0.837484256683654</v>
      </c>
      <c r="F8" s="3">
        <v>0</v>
      </c>
    </row>
    <row r="9" spans="1:6" x14ac:dyDescent="0.2">
      <c r="A9">
        <v>2032</v>
      </c>
      <c r="B9" s="2">
        <v>0</v>
      </c>
      <c r="C9" t="s">
        <v>6</v>
      </c>
      <c r="D9" s="3">
        <v>0</v>
      </c>
      <c r="E9" s="1">
        <v>0.813091511343354</v>
      </c>
      <c r="F9" s="3">
        <v>0</v>
      </c>
    </row>
    <row r="10" spans="1:6" x14ac:dyDescent="0.2">
      <c r="A10">
        <v>2033</v>
      </c>
      <c r="B10" s="2">
        <v>0</v>
      </c>
      <c r="C10" t="s">
        <v>6</v>
      </c>
      <c r="D10" s="3">
        <v>0</v>
      </c>
      <c r="E10" s="1">
        <v>0.78940923431393595</v>
      </c>
      <c r="F10" s="3">
        <v>0</v>
      </c>
    </row>
    <row r="11" spans="1:6" x14ac:dyDescent="0.2">
      <c r="A11">
        <v>2034</v>
      </c>
      <c r="B11" s="2">
        <v>0</v>
      </c>
      <c r="C11" t="s">
        <v>6</v>
      </c>
      <c r="D11" s="3">
        <v>0</v>
      </c>
      <c r="E11" s="1">
        <v>0.76641673234362695</v>
      </c>
      <c r="F11" s="3">
        <v>0</v>
      </c>
    </row>
    <row r="12" spans="1:6" x14ac:dyDescent="0.2">
      <c r="A12">
        <v>2035</v>
      </c>
      <c r="B12" s="2">
        <v>0</v>
      </c>
      <c r="C12" t="s">
        <v>6</v>
      </c>
      <c r="D12" s="3">
        <v>0</v>
      </c>
      <c r="E12" s="1">
        <v>0.74409391489672505</v>
      </c>
      <c r="F12" s="3">
        <v>0</v>
      </c>
    </row>
    <row r="13" spans="1:6" x14ac:dyDescent="0.2">
      <c r="A13">
        <v>2036</v>
      </c>
      <c r="B13" s="2">
        <v>0</v>
      </c>
      <c r="C13" t="s">
        <v>6</v>
      </c>
      <c r="D13" s="3">
        <v>0</v>
      </c>
      <c r="E13" s="1">
        <v>0.72242127659876199</v>
      </c>
      <c r="F13" s="3">
        <v>0</v>
      </c>
    </row>
    <row r="14" spans="1:6" x14ac:dyDescent="0.2">
      <c r="A14">
        <v>2037</v>
      </c>
      <c r="B14" s="2">
        <v>0</v>
      </c>
      <c r="C14" t="s">
        <v>6</v>
      </c>
      <c r="D14" s="3">
        <v>0</v>
      </c>
      <c r="E14" s="1">
        <v>0.70137988019297304</v>
      </c>
      <c r="F14" s="3">
        <v>0</v>
      </c>
    </row>
    <row r="15" spans="1:6" x14ac:dyDescent="0.2">
      <c r="A15">
        <v>2038</v>
      </c>
      <c r="B15" s="2">
        <v>0</v>
      </c>
      <c r="C15" t="s">
        <v>6</v>
      </c>
      <c r="D15" s="3">
        <v>0</v>
      </c>
      <c r="E15" s="1">
        <v>0.68095133999317703</v>
      </c>
      <c r="F15" s="3">
        <v>0</v>
      </c>
    </row>
    <row r="16" spans="1:6" x14ac:dyDescent="0.2">
      <c r="A16">
        <v>2039</v>
      </c>
      <c r="B16" s="2">
        <v>0</v>
      </c>
      <c r="C16" t="s">
        <v>6</v>
      </c>
      <c r="D16" s="3">
        <v>0</v>
      </c>
      <c r="E16" s="1">
        <v>0.66111780581861901</v>
      </c>
      <c r="F16" s="3">
        <v>0</v>
      </c>
    </row>
    <row r="17" spans="1:6" x14ac:dyDescent="0.2">
      <c r="A17">
        <v>2040</v>
      </c>
      <c r="B17" s="2">
        <v>0</v>
      </c>
      <c r="C17" t="s">
        <v>6</v>
      </c>
      <c r="D17" s="3">
        <v>0</v>
      </c>
      <c r="E17" s="1">
        <v>0.64186194739671698</v>
      </c>
      <c r="F17" s="3">
        <v>0</v>
      </c>
    </row>
    <row r="18" spans="1:6" x14ac:dyDescent="0.2">
      <c r="A18">
        <v>2041</v>
      </c>
      <c r="B18" s="2">
        <v>0</v>
      </c>
      <c r="C18" t="s">
        <v>6</v>
      </c>
      <c r="D18" s="3">
        <v>0</v>
      </c>
      <c r="E18" s="1">
        <v>0.62316693922011401</v>
      </c>
      <c r="F18" s="3">
        <v>0</v>
      </c>
    </row>
    <row r="19" spans="1:6" x14ac:dyDescent="0.2">
      <c r="A19">
        <v>2042</v>
      </c>
      <c r="B19" s="2">
        <v>0</v>
      </c>
      <c r="C19" t="s">
        <v>6</v>
      </c>
      <c r="D19" s="3">
        <v>0</v>
      </c>
      <c r="E19" s="1">
        <v>0.60501644584477099</v>
      </c>
      <c r="F19" s="3">
        <v>0</v>
      </c>
    </row>
    <row r="20" spans="1:6" x14ac:dyDescent="0.2">
      <c r="A20">
        <v>2043</v>
      </c>
      <c r="B20" s="2">
        <v>0</v>
      </c>
      <c r="C20" t="s">
        <v>6</v>
      </c>
      <c r="D20" s="3">
        <v>0</v>
      </c>
      <c r="E20" s="1">
        <v>0.58739460761628204</v>
      </c>
      <c r="F20" s="3">
        <v>0</v>
      </c>
    </row>
    <row r="21" spans="1:6" x14ac:dyDescent="0.2">
      <c r="A21">
        <v>2044</v>
      </c>
      <c r="B21" s="2">
        <v>0</v>
      </c>
      <c r="C21" t="s">
        <v>6</v>
      </c>
      <c r="D21" s="3">
        <v>0</v>
      </c>
      <c r="E21" s="1">
        <v>0.57028602681192497</v>
      </c>
      <c r="F21" s="3">
        <v>0</v>
      </c>
    </row>
    <row r="22" spans="1:6" x14ac:dyDescent="0.2">
      <c r="A22">
        <v>2045</v>
      </c>
      <c r="B22" s="2">
        <v>0</v>
      </c>
      <c r="C22" t="s">
        <v>6</v>
      </c>
      <c r="D22" s="3">
        <v>0</v>
      </c>
      <c r="E22" s="1">
        <v>0.55367575418633497</v>
      </c>
      <c r="F22" s="3">
        <v>0</v>
      </c>
    </row>
    <row r="23" spans="1:6" x14ac:dyDescent="0.2">
      <c r="A23">
        <v>2046</v>
      </c>
      <c r="B23" s="2">
        <v>1.71300181139759</v>
      </c>
      <c r="C23" t="s">
        <v>6</v>
      </c>
      <c r="D23" s="3">
        <v>10482869.422095999</v>
      </c>
      <c r="E23" s="1">
        <v>0.53754927590906298</v>
      </c>
      <c r="F23" s="3">
        <v>5635058.8672969397</v>
      </c>
    </row>
    <row r="24" spans="1:6" x14ac:dyDescent="0.2">
      <c r="A24">
        <v>2047</v>
      </c>
      <c r="B24" s="2">
        <v>4.7608379533285197</v>
      </c>
      <c r="C24" t="s">
        <v>6</v>
      </c>
      <c r="D24" s="3">
        <v>29134378.184797999</v>
      </c>
      <c r="E24" s="1">
        <v>0.52189250088258499</v>
      </c>
      <c r="F24" s="3">
        <v>15205013.4925233</v>
      </c>
    </row>
    <row r="25" spans="1:6" x14ac:dyDescent="0.2">
      <c r="A25">
        <v>2048</v>
      </c>
      <c r="B25" s="2">
        <v>8.6179828853646505</v>
      </c>
      <c r="C25" t="s">
        <v>6</v>
      </c>
      <c r="D25" s="3">
        <v>52738525.2415049</v>
      </c>
      <c r="E25" s="1">
        <v>0.506691748429694</v>
      </c>
      <c r="F25" s="3">
        <v>26722175.564221699</v>
      </c>
    </row>
    <row r="26" spans="1:6" x14ac:dyDescent="0.2">
      <c r="A26">
        <v>2049</v>
      </c>
      <c r="B26" s="2">
        <v>12.330796154254999</v>
      </c>
      <c r="C26" t="s">
        <v>6</v>
      </c>
      <c r="D26" s="3">
        <v>75459421.639535099</v>
      </c>
      <c r="E26" s="1">
        <v>0.49193373633950899</v>
      </c>
      <c r="F26" s="3">
        <v>37121035.2291549</v>
      </c>
    </row>
    <row r="27" spans="1:6" x14ac:dyDescent="0.2">
      <c r="A27">
        <v>2050</v>
      </c>
      <c r="B27" s="2">
        <v>15.920215851426301</v>
      </c>
      <c r="C27" t="s">
        <v>6</v>
      </c>
      <c r="D27" s="3">
        <v>97425199.921956703</v>
      </c>
      <c r="E27" s="1">
        <v>0.47760556926165898</v>
      </c>
      <c r="F27" s="3">
        <v>46530818.069157101</v>
      </c>
    </row>
    <row r="28" spans="1:6" x14ac:dyDescent="0.2">
      <c r="A28">
        <v>2051</v>
      </c>
      <c r="B28" s="2">
        <v>19.402980400353002</v>
      </c>
      <c r="C28" t="s">
        <v>6</v>
      </c>
      <c r="D28" s="3">
        <v>118738292.384198</v>
      </c>
      <c r="E28" s="1">
        <v>0.46369472743850398</v>
      </c>
      <c r="F28" s="3">
        <v>55058320.123604</v>
      </c>
    </row>
    <row r="29" spans="1:6" x14ac:dyDescent="0.2">
      <c r="A29">
        <v>2052</v>
      </c>
      <c r="B29" s="2">
        <v>22.771813820825599</v>
      </c>
      <c r="C29" t="s">
        <v>6</v>
      </c>
      <c r="D29" s="3">
        <v>139354173.00769499</v>
      </c>
      <c r="E29" s="1">
        <v>0.45018905576553803</v>
      </c>
      <c r="F29" s="3">
        <v>62735723.563321598</v>
      </c>
    </row>
    <row r="30" spans="1:6" x14ac:dyDescent="0.2">
      <c r="A30">
        <v>2053</v>
      </c>
      <c r="B30" s="2">
        <v>26.022079551805302</v>
      </c>
      <c r="C30" t="s">
        <v>6</v>
      </c>
      <c r="D30" s="3">
        <v>159244467.93807501</v>
      </c>
      <c r="E30" s="1">
        <v>0.43707675317042499</v>
      </c>
      <c r="F30" s="3">
        <v>69602055.006725803</v>
      </c>
    </row>
    <row r="31" spans="1:6" x14ac:dyDescent="0.2">
      <c r="A31">
        <v>2054</v>
      </c>
      <c r="B31" s="2">
        <v>29.248991023801899</v>
      </c>
      <c r="C31" t="s">
        <v>6</v>
      </c>
      <c r="D31" s="3">
        <v>178991844.36963001</v>
      </c>
      <c r="E31" s="1">
        <v>0.42434636230138401</v>
      </c>
      <c r="F31" s="3">
        <v>75954538.039867997</v>
      </c>
    </row>
    <row r="32" spans="1:6" x14ac:dyDescent="0.2">
      <c r="A32">
        <v>2055</v>
      </c>
      <c r="B32" s="2">
        <v>32.509054979113003</v>
      </c>
      <c r="C32" t="s">
        <v>6</v>
      </c>
      <c r="D32" s="3">
        <v>198942100.419462</v>
      </c>
      <c r="E32" s="1">
        <v>0.41198675951590602</v>
      </c>
      <c r="F32" s="3">
        <v>81961511.283102304</v>
      </c>
    </row>
    <row r="33" spans="1:6" x14ac:dyDescent="0.2">
      <c r="A33">
        <v>2056</v>
      </c>
      <c r="B33" s="2">
        <v>35.820647968775098</v>
      </c>
      <c r="C33" t="s">
        <v>6</v>
      </c>
      <c r="D33" s="3">
        <v>219207693.05268499</v>
      </c>
      <c r="E33" s="1">
        <v>0.39998714516107398</v>
      </c>
      <c r="F33" s="3">
        <v>87680259.341488495</v>
      </c>
    </row>
    <row r="34" spans="1:6" x14ac:dyDescent="0.2">
      <c r="A34">
        <v>2057</v>
      </c>
      <c r="B34" s="2">
        <v>39.142488393000299</v>
      </c>
      <c r="C34" t="s">
        <v>6</v>
      </c>
      <c r="D34" s="3">
        <v>239535995.787976</v>
      </c>
      <c r="E34" s="1">
        <v>0.38833703413696502</v>
      </c>
      <c r="F34" s="3">
        <v>93020698.173347294</v>
      </c>
    </row>
    <row r="35" spans="1:6" x14ac:dyDescent="0.2">
      <c r="A35">
        <v>2058</v>
      </c>
      <c r="B35" s="2">
        <v>42.436548183257401</v>
      </c>
      <c r="C35" t="s">
        <v>6</v>
      </c>
      <c r="D35" s="3">
        <v>259694292.42262399</v>
      </c>
      <c r="E35" s="1">
        <v>0.37702624673491802</v>
      </c>
      <c r="F35" s="3">
        <v>97911564.370582193</v>
      </c>
    </row>
    <row r="36" spans="1:6" x14ac:dyDescent="0.2">
      <c r="A36">
        <v>2059</v>
      </c>
      <c r="B36" s="2">
        <v>45.786401950540501</v>
      </c>
      <c r="C36" t="s">
        <v>6</v>
      </c>
      <c r="D36" s="3">
        <v>280194025.34286797</v>
      </c>
      <c r="E36" s="1">
        <v>0.36604489974263799</v>
      </c>
      <c r="F36" s="3">
        <v>102563593.915117</v>
      </c>
    </row>
    <row r="37" spans="1:6" x14ac:dyDescent="0.2">
      <c r="A37">
        <v>2060</v>
      </c>
      <c r="B37" s="2">
        <v>49.266636348022999</v>
      </c>
      <c r="C37" t="s">
        <v>6</v>
      </c>
      <c r="D37" s="3">
        <v>301491634.31464797</v>
      </c>
      <c r="E37" s="1">
        <v>0.35538339780838701</v>
      </c>
      <c r="F37" s="3">
        <v>107145121.413543</v>
      </c>
    </row>
    <row r="38" spans="1:6" x14ac:dyDescent="0.2">
      <c r="A38">
        <v>2061</v>
      </c>
      <c r="B38" s="2">
        <v>52.902751104503302</v>
      </c>
      <c r="C38" t="s">
        <v>6</v>
      </c>
      <c r="D38" s="3">
        <v>323743167.23325002</v>
      </c>
      <c r="E38" s="1">
        <v>0.34503242505668602</v>
      </c>
      <c r="F38" s="3">
        <v>111701890.08602101</v>
      </c>
    </row>
    <row r="39" spans="1:6" x14ac:dyDescent="0.2">
      <c r="A39">
        <v>2062</v>
      </c>
      <c r="B39" s="2">
        <v>56.577839731120498</v>
      </c>
      <c r="C39" t="s">
        <v>6</v>
      </c>
      <c r="D39" s="3">
        <v>346233204.27298099</v>
      </c>
      <c r="E39" s="1">
        <v>0.334982936948239</v>
      </c>
      <c r="F39" s="3">
        <v>115982215.636363</v>
      </c>
    </row>
    <row r="40" spans="1:6" x14ac:dyDescent="0.2">
      <c r="A40">
        <v>2063</v>
      </c>
      <c r="B40" s="2">
        <v>60.237998103818398</v>
      </c>
      <c r="C40" t="s">
        <v>6</v>
      </c>
      <c r="D40" s="3">
        <v>368631874.27431601</v>
      </c>
      <c r="E40" s="1">
        <v>0.32522615237693098</v>
      </c>
      <c r="F40" s="3">
        <v>119888726.113732</v>
      </c>
    </row>
    <row r="41" spans="1:6" x14ac:dyDescent="0.2">
      <c r="A41">
        <v>2064</v>
      </c>
      <c r="B41" s="2">
        <v>63.927101570847299</v>
      </c>
      <c r="C41" t="s">
        <v>6</v>
      </c>
      <c r="D41" s="3">
        <v>391207676.39674002</v>
      </c>
      <c r="E41" s="1">
        <v>0.31575354599701999</v>
      </c>
      <c r="F41" s="3">
        <v>123525211.04352599</v>
      </c>
    </row>
    <row r="42" spans="1:6" x14ac:dyDescent="0.2">
      <c r="A42">
        <v>2065</v>
      </c>
      <c r="B42" s="2">
        <v>67.658771820076694</v>
      </c>
      <c r="C42" t="s">
        <v>6</v>
      </c>
      <c r="D42" s="3">
        <v>414043969.79042602</v>
      </c>
      <c r="E42" s="1">
        <v>0.30655684077380602</v>
      </c>
      <c r="F42" s="3">
        <v>126928011.320398</v>
      </c>
    </row>
    <row r="43" spans="1:6" x14ac:dyDescent="0.2">
      <c r="A43">
        <v>2066</v>
      </c>
      <c r="B43" s="2">
        <v>71.420364504717298</v>
      </c>
      <c r="C43" t="s">
        <v>6</v>
      </c>
      <c r="D43" s="3">
        <v>437063376.23228401</v>
      </c>
      <c r="E43" s="1">
        <v>0.297628000751268</v>
      </c>
      <c r="F43" s="3">
        <v>130082298.86961401</v>
      </c>
    </row>
    <row r="44" spans="1:6" x14ac:dyDescent="0.2">
      <c r="A44">
        <v>2067</v>
      </c>
      <c r="B44" s="2">
        <v>75.157311047641997</v>
      </c>
      <c r="C44" t="s">
        <v>6</v>
      </c>
      <c r="D44" s="3">
        <v>459931958.38216001</v>
      </c>
      <c r="E44" s="1">
        <v>0.28895922403035801</v>
      </c>
      <c r="F44" s="3">
        <v>132901581.800872</v>
      </c>
    </row>
    <row r="45" spans="1:6" x14ac:dyDescent="0.2">
      <c r="A45">
        <v>2068</v>
      </c>
      <c r="B45" s="2">
        <v>78.832824442170505</v>
      </c>
      <c r="C45" t="s">
        <v>6</v>
      </c>
      <c r="D45" s="3">
        <v>482424594.827519</v>
      </c>
      <c r="E45" s="1">
        <v>0.28054293595180302</v>
      </c>
      <c r="F45" s="3">
        <v>135340812.208271</v>
      </c>
    </row>
    <row r="46" spans="1:6" x14ac:dyDescent="0.2">
      <c r="A46">
        <v>2069</v>
      </c>
      <c r="B46" s="2">
        <v>82.516064784082104</v>
      </c>
      <c r="C46" t="s">
        <v>6</v>
      </c>
      <c r="D46" s="3">
        <v>504964517.025823</v>
      </c>
      <c r="E46" s="1">
        <v>0.27237178247747901</v>
      </c>
      <c r="F46" s="3">
        <v>137538085.59020299</v>
      </c>
    </row>
    <row r="47" spans="1:6" x14ac:dyDescent="0.2">
      <c r="A47">
        <v>2070</v>
      </c>
      <c r="B47" s="2">
        <v>86.203959879311697</v>
      </c>
      <c r="C47" t="s">
        <v>6</v>
      </c>
      <c r="D47" s="3">
        <v>527532924.40779698</v>
      </c>
      <c r="E47" s="1">
        <v>0.26443862376454302</v>
      </c>
      <c r="F47" s="3">
        <v>139500080.52088201</v>
      </c>
    </row>
    <row r="48" spans="1:6" x14ac:dyDescent="0.2">
      <c r="A48">
        <v>2071</v>
      </c>
      <c r="B48" s="2">
        <v>89.894126681217998</v>
      </c>
      <c r="C48" t="s">
        <v>6</v>
      </c>
      <c r="D48" s="3">
        <v>550115233.70411694</v>
      </c>
      <c r="E48" s="1">
        <v>0.25673652792674001</v>
      </c>
      <c r="F48" s="3">
        <v>141234675.06080201</v>
      </c>
    </row>
    <row r="49" spans="1:6" x14ac:dyDescent="0.2">
      <c r="A49">
        <v>2072</v>
      </c>
      <c r="B49" s="2">
        <v>93.564289263483303</v>
      </c>
      <c r="C49" t="s">
        <v>6</v>
      </c>
      <c r="D49" s="3">
        <v>572575125.37017405</v>
      </c>
      <c r="E49" s="1">
        <v>0.249258764977418</v>
      </c>
      <c r="F49" s="3">
        <v>142719368.60655999</v>
      </c>
    </row>
    <row r="50" spans="1:6" x14ac:dyDescent="0.2">
      <c r="A50">
        <v>2073</v>
      </c>
      <c r="B50" s="2">
        <v>97.228062197605993</v>
      </c>
      <c r="C50" t="s">
        <v>6</v>
      </c>
      <c r="D50" s="3">
        <v>594995915.00686598</v>
      </c>
      <c r="E50" s="1">
        <v>0.24199880094894999</v>
      </c>
      <c r="F50" s="3">
        <v>143988298.001185</v>
      </c>
    </row>
    <row r="51" spans="1:6" x14ac:dyDescent="0.2">
      <c r="A51">
        <v>2074</v>
      </c>
      <c r="B51" s="2">
        <v>100.898639766221</v>
      </c>
      <c r="C51" t="s">
        <v>6</v>
      </c>
      <c r="D51" s="3">
        <v>617458346.21940005</v>
      </c>
      <c r="E51" s="1">
        <v>0.23495029218344601</v>
      </c>
      <c r="F51" s="3">
        <v>145072018.85535601</v>
      </c>
    </row>
    <row r="52" spans="1:6" x14ac:dyDescent="0.2">
      <c r="A52">
        <v>2075</v>
      </c>
      <c r="B52" s="2">
        <v>104.58447424759601</v>
      </c>
      <c r="C52" t="s">
        <v>6</v>
      </c>
      <c r="D52" s="3">
        <v>640014143.48863399</v>
      </c>
      <c r="E52" s="1">
        <v>0.228107079789753</v>
      </c>
      <c r="F52" s="3">
        <v>145991757.29533201</v>
      </c>
    </row>
    <row r="53" spans="1:6" x14ac:dyDescent="0.2">
      <c r="A53">
        <v>2076</v>
      </c>
      <c r="B53" s="2">
        <v>108.282216010694</v>
      </c>
      <c r="C53" t="s">
        <v>6</v>
      </c>
      <c r="D53" s="3">
        <v>662642808.44466305</v>
      </c>
      <c r="E53" s="1">
        <v>0.22146318426189701</v>
      </c>
      <c r="F53" s="3">
        <v>146750986.386401</v>
      </c>
    </row>
    <row r="54" spans="1:6" x14ac:dyDescent="0.2">
      <c r="A54">
        <v>2077</v>
      </c>
      <c r="B54" s="2">
        <v>111.97633777535199</v>
      </c>
      <c r="C54" t="s">
        <v>6</v>
      </c>
      <c r="D54" s="3">
        <v>685249320.493029</v>
      </c>
      <c r="E54" s="1">
        <v>0.215012800254269</v>
      </c>
      <c r="F54" s="3">
        <v>147337375.271541</v>
      </c>
    </row>
    <row r="55" spans="1:6" x14ac:dyDescent="0.2">
      <c r="A55">
        <v>2078</v>
      </c>
      <c r="B55" s="2">
        <v>115.645243188869</v>
      </c>
      <c r="C55" t="s">
        <v>6</v>
      </c>
      <c r="D55" s="3">
        <v>707701518.801296</v>
      </c>
      <c r="E55" s="1">
        <v>0.20875029150899899</v>
      </c>
      <c r="F55" s="3">
        <v>147732898.35113201</v>
      </c>
    </row>
    <row r="56" spans="1:6" x14ac:dyDescent="0.2">
      <c r="A56">
        <v>2079</v>
      </c>
      <c r="B56" s="2">
        <v>119.26495579205699</v>
      </c>
      <c r="C56" t="s">
        <v>6</v>
      </c>
      <c r="D56" s="3">
        <v>729852677.26024497</v>
      </c>
      <c r="E56" s="1">
        <v>0.202670185931067</v>
      </c>
      <c r="F56" s="3">
        <v>147919377.80262101</v>
      </c>
    </row>
    <row r="57" spans="1:6" x14ac:dyDescent="0.2">
      <c r="A57">
        <v>2080</v>
      </c>
      <c r="B57" s="2">
        <v>122.808994205343</v>
      </c>
      <c r="C57" t="s">
        <v>6</v>
      </c>
      <c r="D57" s="3">
        <v>751540740.67394197</v>
      </c>
      <c r="E57" s="1">
        <v>0.19676717080686101</v>
      </c>
      <c r="F57" s="3">
        <v>147878545.288504</v>
      </c>
    </row>
    <row r="58" spans="1:6" x14ac:dyDescent="0.2">
      <c r="A58">
        <v>2081</v>
      </c>
      <c r="B58" s="2">
        <v>126.253180216112</v>
      </c>
      <c r="C58" t="s">
        <v>6</v>
      </c>
      <c r="D58" s="3">
        <v>772617748.28483605</v>
      </c>
      <c r="E58" s="1">
        <v>0.19103608816200099</v>
      </c>
      <c r="F58" s="3">
        <v>147597872.27686799</v>
      </c>
    </row>
    <row r="59" spans="1:6" x14ac:dyDescent="0.2">
      <c r="A59">
        <v>2082</v>
      </c>
      <c r="B59" s="2">
        <v>129.575811841871</v>
      </c>
      <c r="C59" t="s">
        <v>6</v>
      </c>
      <c r="D59" s="3">
        <v>792950892.84942901</v>
      </c>
      <c r="E59" s="1">
        <v>0.18547193025437</v>
      </c>
      <c r="F59" s="3">
        <v>147070132.69370899</v>
      </c>
    </row>
    <row r="60" spans="1:6" x14ac:dyDescent="0.2">
      <c r="A60">
        <v>2083</v>
      </c>
      <c r="B60" s="2">
        <v>132.77573396170899</v>
      </c>
      <c r="C60" t="s">
        <v>6</v>
      </c>
      <c r="D60" s="3">
        <v>812533105.500898</v>
      </c>
      <c r="E60" s="1">
        <v>0.18006983519841699</v>
      </c>
      <c r="F60" s="3">
        <v>146312702.400805</v>
      </c>
    </row>
    <row r="61" spans="1:6" x14ac:dyDescent="0.2">
      <c r="A61">
        <v>2084</v>
      </c>
      <c r="B61" s="2">
        <v>135.92968502049601</v>
      </c>
      <c r="C61" t="s">
        <v>6</v>
      </c>
      <c r="D61" s="3">
        <v>831833994.08896697</v>
      </c>
      <c r="E61" s="1">
        <v>0.17482508271691</v>
      </c>
      <c r="F61" s="3">
        <v>145425446.82334101</v>
      </c>
    </row>
    <row r="62" spans="1:6" x14ac:dyDescent="0.2">
      <c r="A62">
        <v>2085</v>
      </c>
      <c r="B62" s="2">
        <v>139.04421100058801</v>
      </c>
      <c r="C62" t="s">
        <v>6</v>
      </c>
      <c r="D62" s="3">
        <v>850893617.34435201</v>
      </c>
      <c r="E62" s="1">
        <v>0.16973309001641701</v>
      </c>
      <c r="F62" s="3">
        <v>144424802.94710401</v>
      </c>
    </row>
    <row r="63" spans="1:6" x14ac:dyDescent="0.2">
      <c r="A63">
        <v>2086</v>
      </c>
      <c r="B63" s="2">
        <v>142.04774630976101</v>
      </c>
      <c r="C63" t="s">
        <v>6</v>
      </c>
      <c r="D63" s="3">
        <v>869274023.15666497</v>
      </c>
      <c r="E63" s="1">
        <v>0.164789407782929</v>
      </c>
      <c r="F63" s="3">
        <v>143247151.47707099</v>
      </c>
    </row>
    <row r="64" spans="1:6" x14ac:dyDescent="0.2">
      <c r="A64">
        <v>2087</v>
      </c>
      <c r="B64" s="2">
        <v>144.92766603957801</v>
      </c>
      <c r="C64" t="s">
        <v>6</v>
      </c>
      <c r="D64" s="3">
        <v>886897952.257568</v>
      </c>
      <c r="E64" s="1">
        <v>0.15998971629410599</v>
      </c>
      <c r="F64" s="3">
        <v>141894551.76351199</v>
      </c>
    </row>
    <row r="65" spans="1:7" x14ac:dyDescent="0.2">
      <c r="A65">
        <v>2088</v>
      </c>
      <c r="B65" s="2">
        <v>147.68513379335701</v>
      </c>
      <c r="C65" t="s">
        <v>6</v>
      </c>
      <c r="D65" s="3">
        <v>903772525.42274296</v>
      </c>
      <c r="E65" s="1">
        <v>0.155329821644763</v>
      </c>
      <c r="F65" s="3">
        <v>140382825.18135199</v>
      </c>
    </row>
    <row r="66" spans="1:7" x14ac:dyDescent="0.2">
      <c r="A66">
        <v>2089</v>
      </c>
      <c r="B66" s="2">
        <v>150.32125337336799</v>
      </c>
      <c r="C66" t="s">
        <v>6</v>
      </c>
      <c r="D66" s="3">
        <v>919904497.46995199</v>
      </c>
      <c r="E66" s="1">
        <v>0.15080565208229399</v>
      </c>
      <c r="F66" s="3">
        <v>138726797.594392</v>
      </c>
    </row>
    <row r="67" spans="1:7" x14ac:dyDescent="0.2">
      <c r="A67">
        <v>2090</v>
      </c>
      <c r="B67" s="2">
        <v>152.81571442363099</v>
      </c>
      <c r="C67" t="s">
        <v>6</v>
      </c>
      <c r="D67" s="3">
        <v>935169577.33993602</v>
      </c>
      <c r="E67" s="1">
        <v>0.14641325444882999</v>
      </c>
      <c r="F67" s="3">
        <v>136921221.27987599</v>
      </c>
    </row>
    <row r="68" spans="1:7" x14ac:dyDescent="0.2">
      <c r="A68">
        <v>2091</v>
      </c>
      <c r="B68" s="2">
        <v>155.18223904568299</v>
      </c>
      <c r="C68" t="s">
        <v>6</v>
      </c>
      <c r="D68" s="3">
        <v>949651738.673383</v>
      </c>
      <c r="E68" s="1">
        <v>0.142148790727019</v>
      </c>
      <c r="F68" s="3">
        <v>134991846.26423201</v>
      </c>
    </row>
    <row r="69" spans="1:7" x14ac:dyDescent="0.2">
      <c r="A69">
        <v>2092</v>
      </c>
      <c r="B69" s="2">
        <v>157.44622566784199</v>
      </c>
      <c r="C69" t="s">
        <v>6</v>
      </c>
      <c r="D69" s="3">
        <v>963506409.44813299</v>
      </c>
      <c r="E69" s="1">
        <v>0.13800853468642599</v>
      </c>
      <c r="F69" s="3">
        <v>132972107.728917</v>
      </c>
    </row>
    <row r="70" spans="1:7" x14ac:dyDescent="0.2">
      <c r="A70">
        <v>2093</v>
      </c>
      <c r="B70" s="2">
        <v>159.63913721989601</v>
      </c>
      <c r="C70" t="s">
        <v>6</v>
      </c>
      <c r="D70" s="3">
        <v>976926129.90694201</v>
      </c>
      <c r="E70" s="1">
        <v>0.13398886862759801</v>
      </c>
      <c r="F70" s="3">
        <v>130897226.878969</v>
      </c>
    </row>
    <row r="71" spans="1:7" x14ac:dyDescent="0.2">
      <c r="A71">
        <v>2094</v>
      </c>
      <c r="B71" s="2">
        <v>161.77980243165899</v>
      </c>
      <c r="C71" t="s">
        <v>6</v>
      </c>
      <c r="D71" s="3">
        <v>990026124.16382301</v>
      </c>
      <c r="E71" s="1">
        <v>0.13008628022096899</v>
      </c>
      <c r="F71" s="3">
        <v>128788815.814055</v>
      </c>
    </row>
    <row r="72" spans="1:7" x14ac:dyDescent="0.2">
      <c r="A72">
        <v>2095</v>
      </c>
      <c r="B72" s="2">
        <v>163.88935669284999</v>
      </c>
      <c r="C72" t="s">
        <v>6</v>
      </c>
      <c r="D72" s="3">
        <v>1002935732.14658</v>
      </c>
      <c r="E72" s="1">
        <v>0.12629735943783399</v>
      </c>
      <c r="F72" s="3">
        <v>126668134.655964</v>
      </c>
    </row>
    <row r="73" spans="1:7" x14ac:dyDescent="0.2">
      <c r="A73">
        <v>2096</v>
      </c>
      <c r="B73" s="2">
        <v>165.98845400272401</v>
      </c>
      <c r="C73" t="s">
        <v>6</v>
      </c>
      <c r="D73" s="3">
        <v>1015781347.87055</v>
      </c>
      <c r="E73" s="1">
        <v>0.12261879557071299</v>
      </c>
      <c r="F73" s="3">
        <v>124553885.439082</v>
      </c>
    </row>
    <row r="74" spans="1:7" x14ac:dyDescent="0.2">
      <c r="A74">
        <v>2097</v>
      </c>
      <c r="B74" s="2">
        <v>168.10246314784999</v>
      </c>
      <c r="C74" t="s">
        <v>6</v>
      </c>
      <c r="D74" s="3">
        <v>1028718217.91822</v>
      </c>
      <c r="E74" s="1">
        <v>0.119047374340498</v>
      </c>
      <c r="F74" s="3">
        <v>122466202.77940001</v>
      </c>
    </row>
    <row r="75" spans="1:7" x14ac:dyDescent="0.2">
      <c r="A75">
        <v>2098</v>
      </c>
      <c r="B75" s="2">
        <v>170.25103786494</v>
      </c>
      <c r="C75" t="s">
        <v>6</v>
      </c>
      <c r="D75" s="3">
        <v>1041866615.10788</v>
      </c>
      <c r="E75" s="1">
        <v>0.115579975087862</v>
      </c>
      <c r="F75" s="3">
        <v>120418917.419044</v>
      </c>
    </row>
    <row r="76" spans="1:7" x14ac:dyDescent="0.2">
      <c r="A76">
        <v>2099</v>
      </c>
      <c r="B76" s="2">
        <v>172.441905414958</v>
      </c>
      <c r="C76" t="s">
        <v>6</v>
      </c>
      <c r="D76" s="3">
        <v>1055273827.11148</v>
      </c>
      <c r="E76" s="1">
        <v>0.112213568046468</v>
      </c>
      <c r="F76" s="3">
        <v>118416041.40623</v>
      </c>
    </row>
    <row r="77" spans="1:7" x14ac:dyDescent="0.2">
      <c r="A77">
        <v>2100</v>
      </c>
      <c r="B77" s="2">
        <v>174.67372566166199</v>
      </c>
      <c r="C77" t="s">
        <v>6</v>
      </c>
      <c r="D77" s="3">
        <v>1068931652.84413</v>
      </c>
      <c r="E77" s="1">
        <v>0.10894521169559999</v>
      </c>
      <c r="F77" s="3">
        <v>116454985.207231</v>
      </c>
    </row>
    <row r="78" spans="1:7" x14ac:dyDescent="0.2">
      <c r="A78" t="s">
        <v>7</v>
      </c>
      <c r="B78" s="2">
        <f>SUM(B2:B77)</f>
        <v>5196.1032865225334</v>
      </c>
      <c r="D78" s="3">
        <f>SUM(D2:D77)</f>
        <v>31798023734.661877</v>
      </c>
      <c r="E78" s="3"/>
      <c r="F78" s="3">
        <f>SUM(F2:F77)</f>
        <v>6383493368.5935221</v>
      </c>
      <c r="G78" t="s">
        <v>8</v>
      </c>
    </row>
  </sheetData>
  <pageMargins left="0.75" right="0.75" top="1" bottom="1" header="0.5" footer="0.5"/>
</worksheet>
</file>